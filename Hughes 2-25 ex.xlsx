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/>
  </bookViews>
  <sheets>
    <sheet name="Auction" sheetId="1" r:id="rId1"/>
  </sheets>
  <externalReferences>
    <externalReference r:id="rId2"/>
  </externalReferences>
  <definedNames>
    <definedName name="_xlnm._FilterDatabase" localSheetId="0" hidden="1">Auction!$A$5:$I$5</definedName>
    <definedName name="_GoBack" localSheetId="0">Auction!$C$51</definedName>
    <definedName name="MemberNames">#REF!</definedName>
  </definedNames>
  <calcPr calcId="124519"/>
</workbook>
</file>

<file path=xl/calcChain.xml><?xml version="1.0" encoding="utf-8"?>
<calcChain xmlns="http://schemas.openxmlformats.org/spreadsheetml/2006/main">
  <c r="I7" i="1"/>
  <c r="I8"/>
  <c r="I9"/>
  <c r="I10"/>
  <c r="I11"/>
  <c r="I12"/>
  <c r="I14"/>
  <c r="I15"/>
  <c r="I17"/>
  <c r="I19"/>
  <c r="I20"/>
  <c r="I21"/>
  <c r="I22"/>
  <c r="I23"/>
  <c r="I24"/>
  <c r="I25"/>
  <c r="I27"/>
  <c r="I28"/>
  <c r="I29"/>
  <c r="I30"/>
  <c r="I31"/>
  <c r="I32"/>
  <c r="I33"/>
  <c r="I34"/>
  <c r="I35"/>
  <c r="I37"/>
  <c r="I39"/>
  <c r="I40"/>
  <c r="I43"/>
  <c r="I44"/>
  <c r="I45"/>
  <c r="I46"/>
  <c r="I48"/>
  <c r="I51"/>
  <c r="I52"/>
  <c r="I53"/>
  <c r="I54"/>
  <c r="I55"/>
  <c r="I56"/>
  <c r="I57"/>
  <c r="I58"/>
  <c r="I62"/>
  <c r="I63"/>
  <c r="I6"/>
  <c r="H71"/>
  <c r="H70"/>
  <c r="H69"/>
  <c r="H67"/>
  <c r="H65"/>
  <c r="I65" s="1"/>
  <c r="H64"/>
  <c r="I64" s="1"/>
  <c r="H61"/>
  <c r="I61" s="1"/>
  <c r="H59"/>
  <c r="I59" s="1"/>
  <c r="H50"/>
  <c r="I50" s="1"/>
  <c r="H49"/>
  <c r="I49" s="1"/>
  <c r="H47"/>
  <c r="I47" s="1"/>
  <c r="H42"/>
  <c r="I42" s="1"/>
  <c r="H41"/>
  <c r="I41" s="1"/>
  <c r="H38"/>
  <c r="I38" s="1"/>
  <c r="H26"/>
  <c r="I26" s="1"/>
  <c r="H18"/>
  <c r="I18" s="1"/>
  <c r="H16"/>
  <c r="I16" s="1"/>
</calcChain>
</file>

<file path=xl/sharedStrings.xml><?xml version="1.0" encoding="utf-8"?>
<sst xmlns="http://schemas.openxmlformats.org/spreadsheetml/2006/main" count="96" uniqueCount="83">
  <si>
    <t>WHEN:  February 25, 2026    7PM - 9PM      (AUCTION AT 7:30 PM)</t>
  </si>
  <si>
    <t>WHERE:  7726 Manchester Avenue - Playa del Rey 90293</t>
  </si>
  <si>
    <t>Lot</t>
  </si>
  <si>
    <t>Country and Description</t>
  </si>
  <si>
    <t>Source</t>
  </si>
  <si>
    <t>Basis</t>
  </si>
  <si>
    <t>Cat Val</t>
  </si>
  <si>
    <t>Min Bid</t>
  </si>
  <si>
    <t>a</t>
  </si>
  <si>
    <t>Bid</t>
  </si>
  <si>
    <t>USA 163 U Avg, pen cancel</t>
  </si>
  <si>
    <t>USA 295 MH Avg</t>
  </si>
  <si>
    <t>*EJL</t>
  </si>
  <si>
    <t>USA 339 MH Avg, pulled perf</t>
  </si>
  <si>
    <t>USA 529 MNH VF</t>
  </si>
  <si>
    <t>USA 622 MNH just F</t>
  </si>
  <si>
    <t>USA Q9 MNG F-VF; cat basis w/ gum</t>
  </si>
  <si>
    <t>Antigua 37 U VF</t>
  </si>
  <si>
    <t>Australia - New South Wales 39a U Avg-F; trimmws perf top and bottom, vertical crease</t>
  </si>
  <si>
    <t>*JBM</t>
  </si>
  <si>
    <t>Australia - Queensland 125 MHR VF+</t>
  </si>
  <si>
    <t>Australia - South Australia 80 U Avg</t>
  </si>
  <si>
    <t>Australia - Tasmania 91 U F</t>
  </si>
  <si>
    <t>Australia 161 U VF</t>
  </si>
  <si>
    <t>Austria J72-3 U VF</t>
  </si>
  <si>
    <t>Barbados 15 MNG Avg-F;  cat  basis MG per note in Scott</t>
  </si>
  <si>
    <t>Bosnia and Herzegovina J23 U F-VF</t>
  </si>
  <si>
    <t>Brazil 59 U F-VF</t>
  </si>
  <si>
    <t>Bulgaria 22 MHR Avg</t>
  </si>
  <si>
    <t>Canada 14 U Avg</t>
  </si>
  <si>
    <t>Canada 43a U VF</t>
  </si>
  <si>
    <t>Canada 229 MH F</t>
  </si>
  <si>
    <t>China (Meng Chiang)2N47a MNG F</t>
  </si>
  <si>
    <t>Cyprus 90 U F-VF</t>
  </si>
  <si>
    <t>*JBS</t>
  </si>
  <si>
    <t>Denmark all MH; 122, 127 F-VF;  124-5 VF</t>
  </si>
  <si>
    <t>Fiume E12-13 MH F</t>
  </si>
  <si>
    <t>France 130 MH F-VF</t>
  </si>
  <si>
    <t>France 1507-14 MH VF; 1514 has corner crease</t>
  </si>
  <si>
    <t>French Polynesia 196-7 MH VF set; cat basis NH</t>
  </si>
  <si>
    <t>10%+</t>
  </si>
  <si>
    <t>Germany - Prussia 3 U F</t>
  </si>
  <si>
    <t>Germany - Thurn and Taxis 16 U Avg; torn</t>
  </si>
  <si>
    <t>Germany 724 MH VF</t>
  </si>
  <si>
    <t>Great Britain 3 U F-VF</t>
  </si>
  <si>
    <t>Great Britain 78 U F</t>
  </si>
  <si>
    <t>Great Brittain 654-6 MNH VF set</t>
  </si>
  <si>
    <t>Greece 117-121, 124; 117-8 MF, 119-121 U Avg, 124 U  F bad corners</t>
  </si>
  <si>
    <t>Hong Kong 120 U VF</t>
  </si>
  <si>
    <t>Iceland 39 U Avg-F</t>
  </si>
  <si>
    <t>Indonesia 50-59 U VF</t>
  </si>
  <si>
    <t>Iran 406 U VF; beware of forgeries</t>
  </si>
  <si>
    <t>Italian States - Romagna 2 U Avg-F</t>
  </si>
  <si>
    <t>Italy 106 U Avg</t>
  </si>
  <si>
    <t>Italy 327 MH VF</t>
  </si>
  <si>
    <t>Japan 320-3 MH F-VF set</t>
  </si>
  <si>
    <t>S. Korea 434-43 MH VF set</t>
  </si>
  <si>
    <t>Liechtenstein 154-6 MH VF set</t>
  </si>
  <si>
    <t>Mexico 110 U F-VF</t>
  </si>
  <si>
    <t>Monaco CB1-CB6 set</t>
  </si>
  <si>
    <t>Montenegro 75-86 MH VF set</t>
  </si>
  <si>
    <t>Nauru 26 MH F small thin, 27A MH trimmed perfs</t>
  </si>
  <si>
    <t>Netherlands Antilles 31 MH VF</t>
  </si>
  <si>
    <t>Niger 22-8 MH F-VF set</t>
  </si>
  <si>
    <t>Papua New Guinea 94-105, 108 all MH VF except 99  MH Avg w/crease</t>
  </si>
  <si>
    <t>Portugal 70 Used F-VF pulled perf</t>
  </si>
  <si>
    <t>Rhodesia 76 MH F</t>
  </si>
  <si>
    <t>Romania 57 U F-VF thin</t>
  </si>
  <si>
    <t>Southern Rhodesia 35-6 MH VF</t>
  </si>
  <si>
    <t>Sweden 732a MNH VF</t>
  </si>
  <si>
    <t>Syria C116 MH F-VF</t>
  </si>
  <si>
    <t>Tobago 20 MH F-VF</t>
  </si>
  <si>
    <t>Upper Silesia O38 MNG F-VF; cat basis: gummed</t>
  </si>
  <si>
    <t>Vatican City B3 M F; thin @ top</t>
  </si>
  <si>
    <t xml:space="preserve"> club WW56 Chile-China to 2009 in Citation album</t>
  </si>
  <si>
    <t>JS5 Camb-Chad</t>
  </si>
  <si>
    <t>JS2 Aut-Bav</t>
  </si>
  <si>
    <t>b</t>
  </si>
  <si>
    <t>JS3 Bra-Bur</t>
  </si>
  <si>
    <t>Cat %</t>
  </si>
  <si>
    <t>club CAN15 Canada mint/used 1500+ to 2000 homemd pgs in bndr</t>
  </si>
  <si>
    <t>Unsold</t>
  </si>
  <si>
    <t>BWYW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</si>
</sst>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2" fontId="3" fillId="0" borderId="0" xfId="0" applyNumberFormat="1" applyFont="1"/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2" fillId="0" borderId="2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4" fontId="3" fillId="0" borderId="1" xfId="1" applyFont="1" applyBorder="1" applyAlignment="1">
      <alignment horizontal="right" vertical="center" wrapText="1"/>
    </xf>
    <xf numFmtId="2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44" fontId="3" fillId="0" borderId="0" xfId="1" applyFont="1" applyAlignment="1">
      <alignment horizontal="right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Border="1"/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44" fontId="3" fillId="0" borderId="6" xfId="1" applyFont="1" applyBorder="1" applyAlignment="1">
      <alignment horizontal="righ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1" fillId="0" borderId="4" xfId="0" applyFont="1" applyBorder="1"/>
    <xf numFmtId="44" fontId="1" fillId="0" borderId="1" xfId="1" applyFont="1" applyBorder="1"/>
    <xf numFmtId="44" fontId="1" fillId="0" borderId="6" xfId="1" applyFont="1" applyBorder="1"/>
    <xf numFmtId="0" fontId="3" fillId="0" borderId="7" xfId="0" applyFont="1" applyBorder="1"/>
    <xf numFmtId="9" fontId="3" fillId="0" borderId="8" xfId="0" applyNumberFormat="1" applyFont="1" applyBorder="1" applyAlignment="1">
      <alignment horizontal="left"/>
    </xf>
    <xf numFmtId="0" fontId="1" fillId="0" borderId="9" xfId="0" applyFont="1" applyBorder="1"/>
    <xf numFmtId="44" fontId="1" fillId="0" borderId="10" xfId="1" applyFont="1" applyBorder="1"/>
    <xf numFmtId="44" fontId="1" fillId="0" borderId="8" xfId="1" applyFont="1" applyBorder="1"/>
    <xf numFmtId="9" fontId="3" fillId="0" borderId="1" xfId="1" applyNumberFormat="1" applyFont="1" applyBorder="1" applyAlignment="1">
      <alignment horizontal="right" vertical="center" wrapText="1"/>
    </xf>
    <xf numFmtId="44" fontId="3" fillId="0" borderId="11" xfId="1" applyFont="1" applyBorder="1" applyAlignment="1">
      <alignment horizontal="right" vertical="center" wrapText="1"/>
    </xf>
    <xf numFmtId="164" fontId="0" fillId="0" borderId="0" xfId="2" applyNumberFormat="1" applyFont="1"/>
    <xf numFmtId="0" fontId="3" fillId="0" borderId="3" xfId="0" applyFont="1" applyFill="1" applyBorder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1">
    <dxf>
      <numFmt numFmtId="35" formatCode="_(* #,##0.00_);_(* \(#,##0.00\);_(* &quot;-&quot;??_);_(@_)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131536</xdr:colOff>
      <xdr:row>35</xdr:row>
      <xdr:rowOff>58964</xdr:rowOff>
    </xdr:from>
    <xdr:ext cx="264560" cy="1847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539E1C3E-064F-35DE-0C42-E81913394673}"/>
            </a:ext>
          </a:extLst>
        </xdr:cNvPr>
        <xdr:cNvSpPr txBox="1"/>
      </xdr:nvSpPr>
      <xdr:spPr>
        <a:xfrm rot="18672354">
          <a:off x="457200" y="7648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171450</xdr:colOff>
      <xdr:row>36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1F71405-5418-4838-AFF3-6F8B32ED5A01}"/>
            </a:ext>
          </a:extLst>
        </xdr:cNvPr>
        <xdr:cNvSpPr txBox="1"/>
      </xdr:nvSpPr>
      <xdr:spPr>
        <a:xfrm>
          <a:off x="457200" y="784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ve/Documents/Stamps/Hughes/2026/2-25-26%20Summar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uction"/>
      <sheetName val="Dues 26"/>
      <sheetName val="Dues 2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>
      <pane ySplit="5" topLeftCell="A39" activePane="bottomLeft" state="frozen"/>
      <selection pane="bottomLeft"/>
    </sheetView>
  </sheetViews>
  <sheetFormatPr defaultRowHeight="15"/>
  <cols>
    <col min="1" max="1" width="4.28515625" customWidth="1"/>
    <col min="2" max="2" width="68.85546875" customWidth="1"/>
    <col min="3" max="3" width="7" bestFit="1" customWidth="1"/>
    <col min="4" max="4" width="11.140625" customWidth="1"/>
    <col min="5" max="5" width="11" style="17" customWidth="1"/>
    <col min="6" max="6" width="12" style="17" customWidth="1"/>
    <col min="7" max="7" width="2.140625" customWidth="1"/>
    <col min="8" max="8" width="6.85546875" customWidth="1"/>
    <col min="10" max="10" width="6.85546875" customWidth="1"/>
  </cols>
  <sheetData>
    <row r="1" spans="1:10" s="2" customFormat="1" ht="15.75">
      <c r="A1" s="1" t="s">
        <v>0</v>
      </c>
      <c r="E1" s="3"/>
      <c r="F1" s="3"/>
      <c r="G1"/>
      <c r="H1"/>
      <c r="I1"/>
      <c r="J1"/>
    </row>
    <row r="2" spans="1:10" s="2" customFormat="1" ht="15.75">
      <c r="A2" s="1" t="s">
        <v>1</v>
      </c>
      <c r="E2" s="3"/>
      <c r="F2" s="3"/>
      <c r="G2"/>
      <c r="H2"/>
      <c r="I2"/>
      <c r="J2"/>
    </row>
    <row r="3" spans="1:10" s="2" customFormat="1" ht="6" customHeight="1">
      <c r="A3" s="4"/>
      <c r="E3" s="3"/>
      <c r="F3" s="3"/>
      <c r="G3"/>
      <c r="H3"/>
      <c r="I3"/>
      <c r="J3"/>
    </row>
    <row r="4" spans="1:10" s="2" customFormat="1" ht="9" customHeight="1">
      <c r="E4" s="3"/>
      <c r="F4" s="3"/>
      <c r="G4"/>
      <c r="H4"/>
      <c r="I4"/>
      <c r="J4"/>
    </row>
    <row r="5" spans="1:10" s="11" customFormat="1" ht="15.75">
      <c r="A5" s="5" t="s">
        <v>2</v>
      </c>
      <c r="B5" s="6" t="s">
        <v>3</v>
      </c>
      <c r="C5" s="5" t="s">
        <v>4</v>
      </c>
      <c r="D5" s="5" t="s">
        <v>5</v>
      </c>
      <c r="E5" s="7" t="s">
        <v>6</v>
      </c>
      <c r="F5" s="7" t="s">
        <v>7</v>
      </c>
      <c r="G5" s="8" t="s">
        <v>8</v>
      </c>
      <c r="H5" s="9" t="s">
        <v>9</v>
      </c>
      <c r="I5" s="10" t="s">
        <v>79</v>
      </c>
      <c r="J5"/>
    </row>
    <row r="6" spans="1:10" s="2" customFormat="1" ht="15.75">
      <c r="A6" s="12">
        <v>1</v>
      </c>
      <c r="B6" s="13" t="s">
        <v>10</v>
      </c>
      <c r="C6" s="14"/>
      <c r="D6" s="15">
        <v>2018</v>
      </c>
      <c r="E6" s="16">
        <v>160</v>
      </c>
      <c r="F6" s="16">
        <v>15</v>
      </c>
      <c r="G6"/>
      <c r="H6" s="17">
        <v>1</v>
      </c>
      <c r="I6" s="44">
        <f>H6/E6</f>
        <v>6.2500000000000003E-3</v>
      </c>
      <c r="J6"/>
    </row>
    <row r="7" spans="1:10" s="2" customFormat="1" ht="15.75">
      <c r="A7" s="12">
        <v>2</v>
      </c>
      <c r="B7" s="13" t="s">
        <v>11</v>
      </c>
      <c r="C7" s="14" t="s">
        <v>12</v>
      </c>
      <c r="D7" s="15">
        <v>2022</v>
      </c>
      <c r="E7" s="16">
        <v>15</v>
      </c>
      <c r="F7" s="16">
        <v>5</v>
      </c>
      <c r="G7"/>
      <c r="H7" s="17">
        <v>0.5</v>
      </c>
      <c r="I7" s="44">
        <f t="shared" ref="I7:I65" si="0">H7/E7</f>
        <v>3.3333333333333333E-2</v>
      </c>
      <c r="J7"/>
    </row>
    <row r="8" spans="1:10" s="2" customFormat="1" ht="15.75">
      <c r="A8" s="12">
        <v>3</v>
      </c>
      <c r="B8" s="13" t="s">
        <v>13</v>
      </c>
      <c r="C8" s="14"/>
      <c r="D8" s="15">
        <v>2022</v>
      </c>
      <c r="E8" s="16">
        <v>20</v>
      </c>
      <c r="F8" s="16">
        <v>3</v>
      </c>
      <c r="G8"/>
      <c r="H8" s="17">
        <v>0.5</v>
      </c>
      <c r="I8" s="44">
        <f t="shared" si="0"/>
        <v>2.5000000000000001E-2</v>
      </c>
      <c r="J8"/>
    </row>
    <row r="9" spans="1:10" s="2" customFormat="1" ht="15.75">
      <c r="A9" s="12">
        <v>4</v>
      </c>
      <c r="B9" s="13" t="s">
        <v>14</v>
      </c>
      <c r="C9" s="14"/>
      <c r="D9" s="15">
        <v>2022</v>
      </c>
      <c r="E9" s="16">
        <v>5</v>
      </c>
      <c r="F9" s="16">
        <v>2</v>
      </c>
      <c r="G9"/>
      <c r="H9" s="17">
        <v>1</v>
      </c>
      <c r="I9" s="44">
        <f t="shared" si="0"/>
        <v>0.2</v>
      </c>
      <c r="J9"/>
    </row>
    <row r="10" spans="1:10" s="2" customFormat="1" ht="15.75">
      <c r="A10" s="12">
        <v>5</v>
      </c>
      <c r="B10" s="13" t="s">
        <v>15</v>
      </c>
      <c r="C10" s="14"/>
      <c r="D10" s="15">
        <v>2023</v>
      </c>
      <c r="E10" s="16">
        <v>19</v>
      </c>
      <c r="F10" s="16">
        <v>4.5</v>
      </c>
      <c r="G10"/>
      <c r="H10" s="17">
        <v>2</v>
      </c>
      <c r="I10" s="44">
        <f t="shared" si="0"/>
        <v>0.10526315789473684</v>
      </c>
      <c r="J10"/>
    </row>
    <row r="11" spans="1:10" s="2" customFormat="1" ht="15.75">
      <c r="A11" s="12">
        <v>6</v>
      </c>
      <c r="B11" s="13" t="s">
        <v>16</v>
      </c>
      <c r="C11" s="14"/>
      <c r="D11" s="15">
        <v>2023</v>
      </c>
      <c r="E11" s="16">
        <v>52.5</v>
      </c>
      <c r="F11" s="16">
        <v>10</v>
      </c>
      <c r="G11"/>
      <c r="H11" s="17">
        <v>4.5</v>
      </c>
      <c r="I11" s="44">
        <f t="shared" si="0"/>
        <v>8.5714285714285715E-2</v>
      </c>
      <c r="J11"/>
    </row>
    <row r="12" spans="1:10" s="2" customFormat="1" ht="15.75">
      <c r="A12" s="12">
        <v>7</v>
      </c>
      <c r="B12" s="13" t="s">
        <v>17</v>
      </c>
      <c r="C12" s="14"/>
      <c r="D12" s="15">
        <v>2020</v>
      </c>
      <c r="E12" s="16">
        <v>27.5</v>
      </c>
      <c r="F12" s="16">
        <v>9</v>
      </c>
      <c r="G12"/>
      <c r="H12" s="17">
        <v>4.5</v>
      </c>
      <c r="I12" s="44">
        <f t="shared" si="0"/>
        <v>0.16363636363636364</v>
      </c>
      <c r="J12"/>
    </row>
    <row r="13" spans="1:10" s="2" customFormat="1" ht="31.5">
      <c r="A13" s="12">
        <v>8</v>
      </c>
      <c r="B13" s="13" t="s">
        <v>18</v>
      </c>
      <c r="C13" s="18" t="s">
        <v>19</v>
      </c>
      <c r="D13" s="15">
        <v>2024</v>
      </c>
      <c r="E13" s="16">
        <v>65</v>
      </c>
      <c r="F13" s="16">
        <v>3.5</v>
      </c>
      <c r="G13"/>
      <c r="H13" s="17" t="s">
        <v>81</v>
      </c>
      <c r="I13" s="44"/>
      <c r="J13"/>
    </row>
    <row r="14" spans="1:10" s="2" customFormat="1" ht="15.75">
      <c r="A14" s="12">
        <v>9</v>
      </c>
      <c r="B14" s="13" t="s">
        <v>20</v>
      </c>
      <c r="C14" s="14"/>
      <c r="D14" s="15">
        <v>2022</v>
      </c>
      <c r="E14" s="16">
        <v>60</v>
      </c>
      <c r="F14" s="16">
        <v>15</v>
      </c>
      <c r="G14"/>
      <c r="H14" s="17">
        <v>9</v>
      </c>
      <c r="I14" s="44">
        <f t="shared" si="0"/>
        <v>0.15</v>
      </c>
      <c r="J14"/>
    </row>
    <row r="15" spans="1:10" s="2" customFormat="1" ht="15.75">
      <c r="A15" s="12">
        <v>10</v>
      </c>
      <c r="B15" s="13" t="s">
        <v>21</v>
      </c>
      <c r="C15" s="14" t="s">
        <v>12</v>
      </c>
      <c r="D15" s="15">
        <v>2022</v>
      </c>
      <c r="E15" s="16">
        <v>4</v>
      </c>
      <c r="F15" s="16">
        <v>1</v>
      </c>
      <c r="G15"/>
      <c r="H15" s="17">
        <v>0.5</v>
      </c>
      <c r="I15" s="44">
        <f t="shared" si="0"/>
        <v>0.125</v>
      </c>
      <c r="J15"/>
    </row>
    <row r="16" spans="1:10" s="2" customFormat="1" ht="15.75">
      <c r="A16" s="12">
        <v>11</v>
      </c>
      <c r="B16" s="13" t="s">
        <v>22</v>
      </c>
      <c r="C16" s="14"/>
      <c r="D16" s="15">
        <v>2022</v>
      </c>
      <c r="E16" s="16">
        <v>10</v>
      </c>
      <c r="F16" s="16">
        <v>2.5</v>
      </c>
      <c r="G16"/>
      <c r="H16" s="17">
        <f t="shared" ref="H16:H50" si="1">F16</f>
        <v>2.5</v>
      </c>
      <c r="I16" s="44">
        <f t="shared" si="0"/>
        <v>0.25</v>
      </c>
      <c r="J16"/>
    </row>
    <row r="17" spans="1:10" s="2" customFormat="1" ht="15.75">
      <c r="A17" s="12">
        <v>12</v>
      </c>
      <c r="B17" s="13" t="s">
        <v>23</v>
      </c>
      <c r="C17" s="14"/>
      <c r="D17" s="15">
        <v>2023</v>
      </c>
      <c r="E17" s="16">
        <v>11</v>
      </c>
      <c r="F17" s="16">
        <v>3</v>
      </c>
      <c r="G17"/>
      <c r="H17" s="17">
        <v>0.25</v>
      </c>
      <c r="I17" s="44">
        <f t="shared" si="0"/>
        <v>2.2727272727272728E-2</v>
      </c>
      <c r="J17"/>
    </row>
    <row r="18" spans="1:10" s="2" customFormat="1" ht="15.75">
      <c r="A18" s="12">
        <v>13</v>
      </c>
      <c r="B18" s="13" t="s">
        <v>24</v>
      </c>
      <c r="C18" s="14"/>
      <c r="D18" s="15">
        <v>2023</v>
      </c>
      <c r="E18" s="16">
        <v>32</v>
      </c>
      <c r="F18" s="16">
        <v>7.5</v>
      </c>
      <c r="G18"/>
      <c r="H18" s="17">
        <f t="shared" si="1"/>
        <v>7.5</v>
      </c>
      <c r="I18" s="44">
        <f t="shared" si="0"/>
        <v>0.234375</v>
      </c>
      <c r="J18"/>
    </row>
    <row r="19" spans="1:10" s="2" customFormat="1" ht="15.75">
      <c r="A19" s="12">
        <v>14</v>
      </c>
      <c r="B19" s="13" t="s">
        <v>25</v>
      </c>
      <c r="C19" s="14"/>
      <c r="D19" s="15"/>
      <c r="E19" s="16">
        <v>35</v>
      </c>
      <c r="F19" s="16">
        <v>6</v>
      </c>
      <c r="G19"/>
      <c r="H19" s="17">
        <v>2</v>
      </c>
      <c r="I19" s="44">
        <f t="shared" si="0"/>
        <v>5.7142857142857141E-2</v>
      </c>
      <c r="J19"/>
    </row>
    <row r="20" spans="1:10" s="2" customFormat="1" ht="15.75">
      <c r="A20" s="12">
        <v>15</v>
      </c>
      <c r="B20" s="2" t="s">
        <v>26</v>
      </c>
      <c r="C20" s="20"/>
      <c r="D20" s="19">
        <v>2023</v>
      </c>
      <c r="E20" s="21">
        <v>21</v>
      </c>
      <c r="F20" s="16">
        <v>5</v>
      </c>
      <c r="G20"/>
      <c r="H20" s="17">
        <v>5.5</v>
      </c>
      <c r="I20" s="44">
        <f t="shared" si="0"/>
        <v>0.26190476190476192</v>
      </c>
      <c r="J20"/>
    </row>
    <row r="21" spans="1:10" s="2" customFormat="1" ht="15.75">
      <c r="A21" s="12">
        <v>16</v>
      </c>
      <c r="B21" s="13" t="s">
        <v>27</v>
      </c>
      <c r="C21" s="14"/>
      <c r="D21" s="19">
        <v>2023</v>
      </c>
      <c r="E21" s="16">
        <v>12</v>
      </c>
      <c r="F21" s="16">
        <v>3</v>
      </c>
      <c r="G21"/>
      <c r="H21" s="17">
        <v>0.25</v>
      </c>
      <c r="I21" s="44">
        <f t="shared" si="0"/>
        <v>2.0833333333333332E-2</v>
      </c>
      <c r="J21"/>
    </row>
    <row r="22" spans="1:10" s="2" customFormat="1" ht="15.75">
      <c r="A22" s="12">
        <v>17</v>
      </c>
      <c r="B22" s="13" t="s">
        <v>28</v>
      </c>
      <c r="C22" s="14"/>
      <c r="D22" s="15"/>
      <c r="E22" s="16">
        <v>500</v>
      </c>
      <c r="F22" s="16">
        <v>100</v>
      </c>
      <c r="G22"/>
      <c r="H22" s="17">
        <v>9</v>
      </c>
      <c r="I22" s="44">
        <f t="shared" si="0"/>
        <v>1.7999999999999999E-2</v>
      </c>
      <c r="J22"/>
    </row>
    <row r="23" spans="1:10" s="2" customFormat="1" ht="15.75">
      <c r="A23" s="12">
        <v>18</v>
      </c>
      <c r="B23" s="22" t="s">
        <v>29</v>
      </c>
      <c r="C23" s="14"/>
      <c r="D23" s="23">
        <v>2022</v>
      </c>
      <c r="E23" s="16">
        <v>90</v>
      </c>
      <c r="F23" s="16">
        <v>20</v>
      </c>
      <c r="G23"/>
      <c r="H23" s="17">
        <v>1.75</v>
      </c>
      <c r="I23" s="44">
        <f t="shared" si="0"/>
        <v>1.9444444444444445E-2</v>
      </c>
      <c r="J23"/>
    </row>
    <row r="24" spans="1:10" s="24" customFormat="1" ht="18.75">
      <c r="A24" s="12">
        <v>19</v>
      </c>
      <c r="B24" s="13" t="s">
        <v>30</v>
      </c>
      <c r="C24" s="14"/>
      <c r="D24" s="15">
        <v>2021</v>
      </c>
      <c r="E24" s="16">
        <v>35</v>
      </c>
      <c r="F24" s="16">
        <v>10</v>
      </c>
      <c r="G24"/>
      <c r="H24" s="17">
        <v>6</v>
      </c>
      <c r="I24" s="44">
        <f t="shared" si="0"/>
        <v>0.17142857142857143</v>
      </c>
      <c r="J24"/>
    </row>
    <row r="25" spans="1:10" s="4" customFormat="1" ht="15.75">
      <c r="A25" s="12">
        <v>20</v>
      </c>
      <c r="B25" s="13" t="s">
        <v>31</v>
      </c>
      <c r="C25" s="14"/>
      <c r="D25" s="15">
        <v>2017</v>
      </c>
      <c r="E25" s="16">
        <v>19</v>
      </c>
      <c r="F25" s="16">
        <v>4</v>
      </c>
      <c r="G25"/>
      <c r="H25" s="17">
        <v>0.5</v>
      </c>
      <c r="I25" s="44">
        <f t="shared" si="0"/>
        <v>2.6315789473684209E-2</v>
      </c>
      <c r="J25"/>
    </row>
    <row r="26" spans="1:10" ht="15.75">
      <c r="A26" s="12">
        <v>21</v>
      </c>
      <c r="B26" s="25" t="s">
        <v>32</v>
      </c>
      <c r="C26" s="20"/>
      <c r="D26" s="15">
        <v>2022</v>
      </c>
      <c r="E26" s="16">
        <v>100</v>
      </c>
      <c r="F26" s="16">
        <v>15</v>
      </c>
      <c r="H26" s="17">
        <f t="shared" si="1"/>
        <v>15</v>
      </c>
      <c r="I26" s="44">
        <f t="shared" si="0"/>
        <v>0.15</v>
      </c>
    </row>
    <row r="27" spans="1:10" ht="15.75">
      <c r="A27" s="12">
        <v>22</v>
      </c>
      <c r="B27" s="22" t="s">
        <v>33</v>
      </c>
      <c r="C27" s="26"/>
      <c r="D27" s="23"/>
      <c r="E27" s="16">
        <v>14.5</v>
      </c>
      <c r="F27" s="16">
        <v>3.5</v>
      </c>
      <c r="H27" s="17">
        <v>0.75</v>
      </c>
      <c r="I27" s="44">
        <f t="shared" si="0"/>
        <v>5.1724137931034482E-2</v>
      </c>
    </row>
    <row r="28" spans="1:10" ht="15.75">
      <c r="A28" s="12">
        <v>23</v>
      </c>
      <c r="B28" s="13" t="s">
        <v>35</v>
      </c>
      <c r="C28" s="14"/>
      <c r="D28" s="15">
        <v>2021</v>
      </c>
      <c r="E28" s="16">
        <v>62.25</v>
      </c>
      <c r="F28" s="16">
        <v>16</v>
      </c>
      <c r="H28" s="17">
        <v>12.5</v>
      </c>
      <c r="I28" s="44">
        <f t="shared" si="0"/>
        <v>0.20080321285140562</v>
      </c>
    </row>
    <row r="29" spans="1:10" ht="15.75">
      <c r="A29" s="12">
        <v>24</v>
      </c>
      <c r="B29" s="13" t="s">
        <v>36</v>
      </c>
      <c r="C29" s="14"/>
      <c r="D29" s="15"/>
      <c r="E29" s="16">
        <v>48</v>
      </c>
      <c r="F29" s="16">
        <v>11</v>
      </c>
      <c r="H29" s="17">
        <v>2.75</v>
      </c>
      <c r="I29" s="44">
        <f t="shared" si="0"/>
        <v>5.7291666666666664E-2</v>
      </c>
    </row>
    <row r="30" spans="1:10" ht="15.75">
      <c r="A30" s="12">
        <v>25</v>
      </c>
      <c r="B30" s="13" t="s">
        <v>37</v>
      </c>
      <c r="C30" s="14"/>
      <c r="D30" s="15">
        <v>2021</v>
      </c>
      <c r="E30" s="16">
        <v>85</v>
      </c>
      <c r="F30" s="16">
        <v>25</v>
      </c>
      <c r="H30" s="17">
        <v>6</v>
      </c>
      <c r="I30" s="44">
        <f t="shared" si="0"/>
        <v>7.0588235294117646E-2</v>
      </c>
    </row>
    <row r="31" spans="1:10" ht="15.75">
      <c r="A31" s="12">
        <v>26</v>
      </c>
      <c r="B31" s="13" t="s">
        <v>38</v>
      </c>
      <c r="C31" s="14"/>
      <c r="D31" s="15">
        <v>2014</v>
      </c>
      <c r="E31" s="16">
        <v>7.2</v>
      </c>
      <c r="F31" s="16">
        <v>0.75</v>
      </c>
      <c r="H31" s="17">
        <v>0.25</v>
      </c>
      <c r="I31" s="44">
        <f t="shared" si="0"/>
        <v>3.4722222222222224E-2</v>
      </c>
    </row>
    <row r="32" spans="1:10" ht="15.75">
      <c r="A32" s="12">
        <v>27</v>
      </c>
      <c r="B32" s="13" t="s">
        <v>39</v>
      </c>
      <c r="C32" s="14"/>
      <c r="D32" s="15">
        <v>2019</v>
      </c>
      <c r="E32" s="16">
        <v>39</v>
      </c>
      <c r="F32" s="16">
        <v>7</v>
      </c>
      <c r="H32" s="17">
        <v>0.5</v>
      </c>
      <c r="I32" s="44">
        <f t="shared" si="0"/>
        <v>1.282051282051282E-2</v>
      </c>
    </row>
    <row r="33" spans="1:10" ht="15.75">
      <c r="A33" s="12">
        <v>28</v>
      </c>
      <c r="B33" s="13" t="s">
        <v>41</v>
      </c>
      <c r="C33" s="14"/>
      <c r="D33" s="15">
        <v>2021</v>
      </c>
      <c r="E33" s="16">
        <v>143.5</v>
      </c>
      <c r="F33" s="16">
        <v>3.5</v>
      </c>
      <c r="H33" s="17">
        <v>0.25</v>
      </c>
      <c r="I33" s="44">
        <f t="shared" si="0"/>
        <v>1.7421602787456446E-3</v>
      </c>
    </row>
    <row r="34" spans="1:10" ht="15.75">
      <c r="A34" s="12">
        <v>29</v>
      </c>
      <c r="B34" s="13" t="s">
        <v>42</v>
      </c>
      <c r="C34" s="14"/>
      <c r="D34" s="15">
        <v>2021</v>
      </c>
      <c r="E34" s="16">
        <v>250</v>
      </c>
      <c r="F34" s="16">
        <v>15</v>
      </c>
      <c r="H34" s="17">
        <v>4</v>
      </c>
      <c r="I34" s="44">
        <f t="shared" si="0"/>
        <v>1.6E-2</v>
      </c>
    </row>
    <row r="35" spans="1:10" ht="15.75">
      <c r="A35" s="12">
        <v>30</v>
      </c>
      <c r="B35" s="13" t="s">
        <v>43</v>
      </c>
      <c r="C35" s="14" t="s">
        <v>34</v>
      </c>
      <c r="D35" s="15">
        <v>2023</v>
      </c>
      <c r="E35" s="16">
        <v>13.5</v>
      </c>
      <c r="F35" s="16">
        <v>4</v>
      </c>
      <c r="H35" s="17">
        <v>0.5</v>
      </c>
      <c r="I35" s="44">
        <f t="shared" si="0"/>
        <v>3.7037037037037035E-2</v>
      </c>
    </row>
    <row r="36" spans="1:10" ht="15.75">
      <c r="A36" s="12">
        <v>31</v>
      </c>
      <c r="B36" s="13" t="s">
        <v>44</v>
      </c>
      <c r="C36" s="26" t="s">
        <v>19</v>
      </c>
      <c r="D36" s="15">
        <v>2024</v>
      </c>
      <c r="E36" s="16">
        <v>32.5</v>
      </c>
      <c r="F36" s="16">
        <v>5</v>
      </c>
      <c r="H36" s="17" t="s">
        <v>81</v>
      </c>
      <c r="I36" s="44"/>
    </row>
    <row r="37" spans="1:10" ht="15.75">
      <c r="A37" s="12">
        <v>32</v>
      </c>
      <c r="B37" s="13" t="s">
        <v>45</v>
      </c>
      <c r="C37" s="14"/>
      <c r="D37" s="15">
        <v>2018</v>
      </c>
      <c r="E37" s="16">
        <v>13.5</v>
      </c>
      <c r="F37" s="16">
        <v>2.6</v>
      </c>
      <c r="H37" s="17">
        <v>0.25</v>
      </c>
      <c r="I37" s="44">
        <f t="shared" si="0"/>
        <v>1.8518518518518517E-2</v>
      </c>
    </row>
    <row r="38" spans="1:10" ht="15.75">
      <c r="A38" s="12">
        <v>33</v>
      </c>
      <c r="B38" s="13" t="s">
        <v>46</v>
      </c>
      <c r="C38" s="14"/>
      <c r="D38" s="15">
        <v>2016</v>
      </c>
      <c r="E38" s="16">
        <v>0.9</v>
      </c>
      <c r="F38" s="16">
        <v>0.25</v>
      </c>
      <c r="H38" s="17">
        <f t="shared" si="1"/>
        <v>0.25</v>
      </c>
      <c r="I38" s="44">
        <f t="shared" si="0"/>
        <v>0.27777777777777779</v>
      </c>
    </row>
    <row r="39" spans="1:10" ht="15.75">
      <c r="A39" s="12">
        <v>34</v>
      </c>
      <c r="B39" s="13" t="s">
        <v>47</v>
      </c>
      <c r="C39" s="14"/>
      <c r="D39" s="15">
        <v>2022</v>
      </c>
      <c r="E39" s="16">
        <v>48.75</v>
      </c>
      <c r="F39" s="16">
        <v>6</v>
      </c>
      <c r="H39" s="17">
        <v>2.25</v>
      </c>
      <c r="I39" s="44">
        <f t="shared" si="0"/>
        <v>4.6153846153846156E-2</v>
      </c>
    </row>
    <row r="40" spans="1:10" ht="15.75">
      <c r="A40" s="12">
        <v>35</v>
      </c>
      <c r="B40" s="13" t="s">
        <v>48</v>
      </c>
      <c r="C40" s="14"/>
      <c r="D40" s="15">
        <v>2017</v>
      </c>
      <c r="E40" s="16">
        <v>6</v>
      </c>
      <c r="F40" s="16">
        <v>2</v>
      </c>
      <c r="H40" s="17">
        <v>0.25</v>
      </c>
      <c r="I40" s="44">
        <f t="shared" si="0"/>
        <v>4.1666666666666664E-2</v>
      </c>
    </row>
    <row r="41" spans="1:10" ht="15.75">
      <c r="A41" s="12">
        <v>36</v>
      </c>
      <c r="B41" s="13" t="s">
        <v>49</v>
      </c>
      <c r="C41" s="14"/>
      <c r="D41" s="15">
        <v>2022</v>
      </c>
      <c r="E41" s="16">
        <v>11</v>
      </c>
      <c r="F41" s="16">
        <v>2.5</v>
      </c>
      <c r="H41" s="17">
        <f t="shared" si="1"/>
        <v>2.5</v>
      </c>
      <c r="I41" s="44">
        <f t="shared" si="0"/>
        <v>0.22727272727272727</v>
      </c>
    </row>
    <row r="42" spans="1:10" ht="15.75">
      <c r="A42" s="12">
        <v>37</v>
      </c>
      <c r="B42" s="13" t="s">
        <v>50</v>
      </c>
      <c r="C42" s="14"/>
      <c r="D42" s="15">
        <v>2017</v>
      </c>
      <c r="E42" s="16">
        <v>9.85</v>
      </c>
      <c r="F42" s="16">
        <v>3.5</v>
      </c>
      <c r="H42" s="17">
        <f t="shared" si="1"/>
        <v>3.5</v>
      </c>
      <c r="I42" s="44">
        <f t="shared" si="0"/>
        <v>0.35532994923857869</v>
      </c>
    </row>
    <row r="43" spans="1:10" s="4" customFormat="1" ht="15.75">
      <c r="A43" s="12">
        <v>38</v>
      </c>
      <c r="B43" s="13" t="s">
        <v>51</v>
      </c>
      <c r="C43" s="14"/>
      <c r="D43" s="15">
        <v>2022</v>
      </c>
      <c r="E43" s="16">
        <v>45</v>
      </c>
      <c r="F43" s="16">
        <v>10</v>
      </c>
      <c r="G43"/>
      <c r="H43" s="17">
        <v>1</v>
      </c>
      <c r="I43" s="44">
        <f t="shared" si="0"/>
        <v>2.2222222222222223E-2</v>
      </c>
      <c r="J43"/>
    </row>
    <row r="44" spans="1:10" ht="15.75">
      <c r="A44" s="12">
        <v>39</v>
      </c>
      <c r="B44" s="13" t="s">
        <v>52</v>
      </c>
      <c r="C44" s="14"/>
      <c r="D44" s="15">
        <v>2023</v>
      </c>
      <c r="E44" s="16">
        <v>180</v>
      </c>
      <c r="F44" s="16">
        <v>26</v>
      </c>
      <c r="H44" s="17">
        <v>9</v>
      </c>
      <c r="I44" s="44">
        <f t="shared" si="0"/>
        <v>0.05</v>
      </c>
    </row>
    <row r="45" spans="1:10" ht="15.75">
      <c r="A45" s="12">
        <v>40</v>
      </c>
      <c r="B45" s="13" t="s">
        <v>53</v>
      </c>
      <c r="C45" s="14"/>
      <c r="D45" s="15">
        <v>2017</v>
      </c>
      <c r="E45" s="16">
        <v>37.5</v>
      </c>
      <c r="F45" s="16">
        <v>5</v>
      </c>
      <c r="H45" s="17">
        <v>0.25</v>
      </c>
      <c r="I45" s="44">
        <f t="shared" si="0"/>
        <v>6.6666666666666671E-3</v>
      </c>
    </row>
    <row r="46" spans="1:10" ht="15.75">
      <c r="A46" s="12">
        <v>41</v>
      </c>
      <c r="B46" s="13" t="s">
        <v>54</v>
      </c>
      <c r="C46" s="14"/>
      <c r="D46" s="15">
        <v>2017</v>
      </c>
      <c r="E46" s="16">
        <v>16</v>
      </c>
      <c r="F46" s="16">
        <v>3.75</v>
      </c>
      <c r="H46" s="17">
        <v>1</v>
      </c>
      <c r="I46" s="44">
        <f t="shared" si="0"/>
        <v>6.25E-2</v>
      </c>
    </row>
    <row r="47" spans="1:10" ht="15.75">
      <c r="A47" s="12">
        <v>42</v>
      </c>
      <c r="B47" s="13" t="s">
        <v>55</v>
      </c>
      <c r="C47" s="14"/>
      <c r="D47" s="15">
        <v>2022</v>
      </c>
      <c r="E47" s="16">
        <v>19.75</v>
      </c>
      <c r="F47" s="16">
        <v>5.5</v>
      </c>
      <c r="H47" s="17">
        <f t="shared" si="1"/>
        <v>5.5</v>
      </c>
      <c r="I47" s="44">
        <f t="shared" si="0"/>
        <v>0.27848101265822783</v>
      </c>
    </row>
    <row r="48" spans="1:10" ht="15.75">
      <c r="A48" s="12">
        <v>43</v>
      </c>
      <c r="B48" s="27" t="s">
        <v>56</v>
      </c>
      <c r="C48" s="14" t="s">
        <v>34</v>
      </c>
      <c r="D48" s="28">
        <v>2022</v>
      </c>
      <c r="E48" s="16">
        <v>73.05</v>
      </c>
      <c r="F48" s="29">
        <v>20</v>
      </c>
      <c r="H48" s="17">
        <v>3</v>
      </c>
      <c r="I48" s="44">
        <f t="shared" si="0"/>
        <v>4.1067761806981525E-2</v>
      </c>
    </row>
    <row r="49" spans="1:9" ht="15.75">
      <c r="A49" s="12">
        <v>44</v>
      </c>
      <c r="B49" s="13" t="s">
        <v>57</v>
      </c>
      <c r="C49" s="14" t="s">
        <v>34</v>
      </c>
      <c r="D49" s="15">
        <v>2022</v>
      </c>
      <c r="E49" s="16">
        <v>4.2</v>
      </c>
      <c r="F49" s="16">
        <v>2</v>
      </c>
      <c r="H49" s="17">
        <f t="shared" si="1"/>
        <v>2</v>
      </c>
      <c r="I49" s="44">
        <f t="shared" si="0"/>
        <v>0.47619047619047616</v>
      </c>
    </row>
    <row r="50" spans="1:9" ht="15.75">
      <c r="A50" s="12">
        <v>45</v>
      </c>
      <c r="B50" s="13" t="s">
        <v>58</v>
      </c>
      <c r="C50" s="14"/>
      <c r="D50" s="15">
        <v>2022</v>
      </c>
      <c r="E50" s="16">
        <v>15</v>
      </c>
      <c r="F50" s="16">
        <v>3.75</v>
      </c>
      <c r="H50" s="17">
        <f t="shared" si="1"/>
        <v>3.75</v>
      </c>
      <c r="I50" s="44">
        <f t="shared" si="0"/>
        <v>0.25</v>
      </c>
    </row>
    <row r="51" spans="1:9" ht="15.75">
      <c r="A51" s="12">
        <v>46</v>
      </c>
      <c r="B51" s="22" t="s">
        <v>59</v>
      </c>
      <c r="C51" s="14" t="s">
        <v>12</v>
      </c>
      <c r="D51" s="15">
        <v>2022</v>
      </c>
      <c r="E51" s="16">
        <v>5.25</v>
      </c>
      <c r="F51" s="16">
        <v>1.5</v>
      </c>
      <c r="H51" s="17">
        <v>0.25</v>
      </c>
      <c r="I51" s="44">
        <f t="shared" si="0"/>
        <v>4.7619047619047616E-2</v>
      </c>
    </row>
    <row r="52" spans="1:9" ht="15.75">
      <c r="A52" s="12">
        <v>47</v>
      </c>
      <c r="B52" s="13" t="s">
        <v>60</v>
      </c>
      <c r="C52" s="14"/>
      <c r="D52" s="15">
        <v>2022</v>
      </c>
      <c r="E52" s="16">
        <v>10.8</v>
      </c>
      <c r="F52" s="16">
        <v>2.5</v>
      </c>
      <c r="H52" s="17">
        <v>0.25</v>
      </c>
      <c r="I52" s="44">
        <f t="shared" si="0"/>
        <v>2.3148148148148147E-2</v>
      </c>
    </row>
    <row r="53" spans="1:9" ht="15.75">
      <c r="A53" s="12">
        <v>48</v>
      </c>
      <c r="B53" s="13" t="s">
        <v>61</v>
      </c>
      <c r="C53" s="14"/>
      <c r="D53" s="15"/>
      <c r="E53" s="16">
        <v>25</v>
      </c>
      <c r="F53" s="16">
        <v>3.75</v>
      </c>
      <c r="H53" s="17">
        <v>3</v>
      </c>
      <c r="I53" s="44">
        <f t="shared" si="0"/>
        <v>0.12</v>
      </c>
    </row>
    <row r="54" spans="1:9" ht="15.75">
      <c r="A54" s="12">
        <v>49</v>
      </c>
      <c r="B54" s="13" t="s">
        <v>62</v>
      </c>
      <c r="C54" s="14"/>
      <c r="D54" s="15">
        <v>2023</v>
      </c>
      <c r="E54" s="16">
        <v>18</v>
      </c>
      <c r="F54" s="16">
        <v>4.5</v>
      </c>
      <c r="H54" s="17">
        <v>1.5</v>
      </c>
      <c r="I54" s="44">
        <f t="shared" si="0"/>
        <v>8.3333333333333329E-2</v>
      </c>
    </row>
    <row r="55" spans="1:9" ht="15.75">
      <c r="A55" s="12">
        <v>50</v>
      </c>
      <c r="B55" s="13" t="s">
        <v>63</v>
      </c>
      <c r="C55" s="14"/>
      <c r="D55" s="15">
        <v>2022</v>
      </c>
      <c r="E55" s="16">
        <v>10.3</v>
      </c>
      <c r="F55" s="16">
        <v>2.75</v>
      </c>
      <c r="H55" s="17">
        <v>0.25</v>
      </c>
      <c r="I55" s="44">
        <f t="shared" si="0"/>
        <v>2.4271844660194174E-2</v>
      </c>
    </row>
    <row r="56" spans="1:9" ht="15.75">
      <c r="A56" s="12">
        <v>51</v>
      </c>
      <c r="B56" s="13" t="s">
        <v>64</v>
      </c>
      <c r="C56" s="14" t="s">
        <v>34</v>
      </c>
      <c r="D56" s="15">
        <v>2022</v>
      </c>
      <c r="E56" s="16">
        <v>266.64999999999998</v>
      </c>
      <c r="F56" s="16">
        <v>80</v>
      </c>
      <c r="H56" s="17">
        <v>15</v>
      </c>
      <c r="I56" s="44">
        <f t="shared" si="0"/>
        <v>5.6253515844740302E-2</v>
      </c>
    </row>
    <row r="57" spans="1:9" ht="15.75">
      <c r="A57" s="12">
        <v>52</v>
      </c>
      <c r="B57" s="13" t="s">
        <v>65</v>
      </c>
      <c r="C57" s="14" t="s">
        <v>12</v>
      </c>
      <c r="D57" s="15"/>
      <c r="E57" s="16">
        <v>9.25</v>
      </c>
      <c r="F57" s="16">
        <v>2.25</v>
      </c>
      <c r="H57" s="17">
        <v>0.25</v>
      </c>
      <c r="I57" s="44">
        <f t="shared" si="0"/>
        <v>2.7027027027027029E-2</v>
      </c>
    </row>
    <row r="58" spans="1:9" ht="15.75">
      <c r="A58" s="12">
        <v>53</v>
      </c>
      <c r="B58" s="13" t="s">
        <v>66</v>
      </c>
      <c r="C58" s="14"/>
      <c r="D58" s="15">
        <v>2022</v>
      </c>
      <c r="E58" s="16">
        <v>9.5</v>
      </c>
      <c r="F58" s="16">
        <v>2.25</v>
      </c>
      <c r="H58" s="17">
        <v>0.25</v>
      </c>
      <c r="I58" s="44">
        <f t="shared" si="0"/>
        <v>2.6315789473684209E-2</v>
      </c>
    </row>
    <row r="59" spans="1:9" ht="15.75">
      <c r="A59" s="12">
        <v>54</v>
      </c>
      <c r="B59" s="13" t="s">
        <v>67</v>
      </c>
      <c r="C59" s="14"/>
      <c r="D59" s="15">
        <v>2023</v>
      </c>
      <c r="E59" s="16">
        <v>15</v>
      </c>
      <c r="F59" s="16">
        <v>2.75</v>
      </c>
      <c r="H59" s="17">
        <f t="shared" ref="H59:H71" si="2">F59</f>
        <v>2.75</v>
      </c>
      <c r="I59" s="44">
        <f t="shared" si="0"/>
        <v>0.18333333333333332</v>
      </c>
    </row>
    <row r="60" spans="1:9" ht="15.75">
      <c r="A60" s="12">
        <v>55</v>
      </c>
      <c r="B60" s="13" t="s">
        <v>68</v>
      </c>
      <c r="C60" s="14" t="s">
        <v>19</v>
      </c>
      <c r="D60" s="15">
        <v>2023</v>
      </c>
      <c r="E60" s="16">
        <v>16</v>
      </c>
      <c r="F60" s="16">
        <v>3.75</v>
      </c>
      <c r="H60" s="17" t="s">
        <v>81</v>
      </c>
      <c r="I60" s="44"/>
    </row>
    <row r="61" spans="1:9" ht="15.75">
      <c r="A61" s="12">
        <v>56</v>
      </c>
      <c r="B61" s="13" t="s">
        <v>69</v>
      </c>
      <c r="C61" s="14" t="s">
        <v>19</v>
      </c>
      <c r="D61" s="15">
        <v>2023</v>
      </c>
      <c r="E61" s="16">
        <v>1.5</v>
      </c>
      <c r="F61" s="16">
        <v>0.5</v>
      </c>
      <c r="H61" s="17">
        <f t="shared" si="2"/>
        <v>0.5</v>
      </c>
      <c r="I61" s="44">
        <f t="shared" si="0"/>
        <v>0.33333333333333331</v>
      </c>
    </row>
    <row r="62" spans="1:9" ht="15.75">
      <c r="A62" s="12">
        <v>57</v>
      </c>
      <c r="B62" s="13" t="s">
        <v>70</v>
      </c>
      <c r="C62" s="14"/>
      <c r="D62" s="15">
        <v>2022</v>
      </c>
      <c r="E62" s="16">
        <v>22.5</v>
      </c>
      <c r="F62" s="16">
        <v>5</v>
      </c>
      <c r="H62" s="17">
        <v>0.5</v>
      </c>
      <c r="I62" s="44">
        <f t="shared" si="0"/>
        <v>2.2222222222222223E-2</v>
      </c>
    </row>
    <row r="63" spans="1:9" ht="15.75">
      <c r="A63" s="12">
        <v>58</v>
      </c>
      <c r="B63" s="13" t="s">
        <v>71</v>
      </c>
      <c r="C63" s="14"/>
      <c r="D63" s="15">
        <v>2022</v>
      </c>
      <c r="E63" s="16">
        <v>9.5</v>
      </c>
      <c r="F63" s="16">
        <v>2.5</v>
      </c>
      <c r="H63" s="17">
        <v>8</v>
      </c>
      <c r="I63" s="44">
        <f t="shared" si="0"/>
        <v>0.84210526315789469</v>
      </c>
    </row>
    <row r="64" spans="1:9" ht="15.75">
      <c r="A64" s="12">
        <v>59</v>
      </c>
      <c r="B64" s="13" t="s">
        <v>72</v>
      </c>
      <c r="C64" s="14"/>
      <c r="D64" s="15">
        <v>2022</v>
      </c>
      <c r="E64" s="16">
        <v>6.6</v>
      </c>
      <c r="F64" s="16">
        <v>1</v>
      </c>
      <c r="H64" s="17">
        <f t="shared" si="2"/>
        <v>1</v>
      </c>
      <c r="I64" s="44">
        <f t="shared" si="0"/>
        <v>0.15151515151515152</v>
      </c>
    </row>
    <row r="65" spans="1:9" ht="15.75">
      <c r="A65" s="12">
        <v>60</v>
      </c>
      <c r="B65" t="s">
        <v>73</v>
      </c>
      <c r="C65" s="30"/>
      <c r="D65" s="19">
        <v>2022</v>
      </c>
      <c r="E65" s="16">
        <v>30</v>
      </c>
      <c r="F65" s="16">
        <v>6</v>
      </c>
      <c r="H65" s="17">
        <f t="shared" si="2"/>
        <v>6</v>
      </c>
      <c r="I65" s="44">
        <f t="shared" si="0"/>
        <v>0.2</v>
      </c>
    </row>
    <row r="66" spans="1:9" ht="15.75">
      <c r="A66" s="12"/>
      <c r="B66" s="45" t="s">
        <v>82</v>
      </c>
      <c r="C66" s="30"/>
      <c r="D66" s="19"/>
      <c r="E66" s="16"/>
      <c r="F66" s="16"/>
      <c r="H66" s="17"/>
      <c r="I66" s="44"/>
    </row>
    <row r="67" spans="1:9" ht="15.75">
      <c r="A67" s="12">
        <v>61</v>
      </c>
      <c r="B67" s="31" t="s">
        <v>74</v>
      </c>
      <c r="C67" s="32" t="s">
        <v>40</v>
      </c>
      <c r="D67" s="15"/>
      <c r="E67" s="16"/>
      <c r="F67" s="16"/>
      <c r="H67" s="17">
        <f t="shared" si="2"/>
        <v>0</v>
      </c>
      <c r="I67" s="44">
        <v>0.46</v>
      </c>
    </row>
    <row r="68" spans="1:9" ht="15.75">
      <c r="A68" s="12">
        <v>62</v>
      </c>
      <c r="B68" s="25" t="s">
        <v>80</v>
      </c>
      <c r="C68" s="33" t="s">
        <v>40</v>
      </c>
      <c r="D68" s="34"/>
      <c r="E68" s="35"/>
      <c r="F68" s="36"/>
      <c r="H68" s="17">
        <v>32</v>
      </c>
      <c r="I68" s="44"/>
    </row>
    <row r="69" spans="1:9" ht="15.75">
      <c r="A69" s="12">
        <v>63</v>
      </c>
      <c r="B69" s="37" t="s">
        <v>75</v>
      </c>
      <c r="C69" s="38"/>
      <c r="D69" s="39"/>
      <c r="E69" s="40"/>
      <c r="F69" s="41"/>
      <c r="H69" s="17">
        <f t="shared" si="2"/>
        <v>0</v>
      </c>
      <c r="I69" s="44">
        <v>0.25</v>
      </c>
    </row>
    <row r="70" spans="1:9" ht="15.75">
      <c r="A70" s="12" t="s">
        <v>8</v>
      </c>
      <c r="B70" s="13" t="s">
        <v>76</v>
      </c>
      <c r="C70" s="14"/>
      <c r="D70" s="15"/>
      <c r="E70" s="42"/>
      <c r="F70" s="43"/>
      <c r="H70" s="17">
        <f t="shared" si="2"/>
        <v>0</v>
      </c>
      <c r="I70" s="44">
        <v>0.22</v>
      </c>
    </row>
    <row r="71" spans="1:9" ht="15.75">
      <c r="A71" s="12" t="s">
        <v>77</v>
      </c>
      <c r="B71" s="13" t="s">
        <v>78</v>
      </c>
      <c r="C71" s="14"/>
      <c r="D71" s="15"/>
      <c r="E71" s="42"/>
      <c r="F71" s="43"/>
      <c r="H71" s="17">
        <f t="shared" si="2"/>
        <v>0</v>
      </c>
      <c r="I71" s="44">
        <v>0.22</v>
      </c>
    </row>
  </sheetData>
  <pageMargins left="0.25" right="0.25" top="0.75" bottom="0.75" header="0.3" footer="0.3"/>
  <pageSetup orientation="portrait" r:id="rId1"/>
  <rowBreaks count="2" manualBreakCount="2">
    <brk id="23" max="16383" man="1"/>
    <brk id="4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Auction</vt:lpstr>
      <vt:lpstr>Auction!_GoBack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</cp:lastModifiedBy>
  <dcterms:created xsi:type="dcterms:W3CDTF">2026-03-05T01:47:58Z</dcterms:created>
  <dcterms:modified xsi:type="dcterms:W3CDTF">2026-03-05T01:53:54Z</dcterms:modified>
</cp:coreProperties>
</file>